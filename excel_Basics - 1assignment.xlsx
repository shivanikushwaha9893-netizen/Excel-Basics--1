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Sheet1" sheetId="1" r:id="rId1"/>
  </sheets>
  <externalReferences>
    <externalReference r:id="rId2"/>
  </externalReferences>
  <calcPr calcId="124519"/>
</workbook>
</file>

<file path=xl/calcChain.xml><?xml version="1.0" encoding="utf-8"?>
<calcChain xmlns="http://schemas.openxmlformats.org/spreadsheetml/2006/main">
  <c r="S3" i="1"/>
  <c r="E4"/>
  <c r="D4"/>
  <c r="E3"/>
  <c r="D3"/>
  <c r="E2"/>
  <c r="D2"/>
</calcChain>
</file>

<file path=xl/sharedStrings.xml><?xml version="1.0" encoding="utf-8"?>
<sst xmlns="http://schemas.openxmlformats.org/spreadsheetml/2006/main" count="174" uniqueCount="82">
  <si>
    <t>Vehicle</t>
  </si>
  <si>
    <t>Price</t>
  </si>
  <si>
    <t>Tax</t>
  </si>
  <si>
    <t>Tax Amount</t>
  </si>
  <si>
    <t>Extra 5%</t>
  </si>
  <si>
    <t>Car</t>
  </si>
  <si>
    <t>Bicycle</t>
  </si>
  <si>
    <t>Auto-Rickshaw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</si>
  <si>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</si>
  <si>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</si>
  <si>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</si>
  <si>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</si>
  <si>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</si>
  <si>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</si>
  <si>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</si>
  <si>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</si>
  <si>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</si>
  <si>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</si>
  <si>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</si>
  <si>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</si>
  <si>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</si>
  <si>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</si>
  <si>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</si>
  <si>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</si>
  <si>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</si>
  <si>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</si>
  <si>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</si>
  <si>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</si>
  <si>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</si>
  <si>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</si>
  <si>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</si>
  <si>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</si>
  <si>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</si>
  <si>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</si>
  <si>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</si>
  <si>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</si>
  <si>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</si>
  <si>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</si>
  <si>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</si>
  <si>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</si>
  <si>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</si>
  <si>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</si>
  <si>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</si>
  <si>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</si>
  <si>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</si>
  <si>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</si>
  <si>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</si>
  <si>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</si>
  <si>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</si>
  <si>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</si>
  <si>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</si>
  <si>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</si>
  <si>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</si>
  <si>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</si>
  <si>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</si>
  <si>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</si>
  <si>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</si>
  <si>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</si>
  <si>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</si>
  <si>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</si>
  <si>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</si>
  <si>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</si>
  <si>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</si>
  <si>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</si>
  <si>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</si>
  <si>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</si>
  <si>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</si>
  <si>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</si>
  <si>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</si>
  <si>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</si>
  <si>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</si>
  <si>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</si>
  <si>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</si>
  <si>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</si>
  <si>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Item A</t>
  </si>
  <si>
    <t>Item B</t>
  </si>
  <si>
    <t>Item C</t>
  </si>
  <si>
    <t>Avg</t>
  </si>
  <si>
    <t>Sales</t>
  </si>
  <si>
    <t>Item</t>
  </si>
  <si>
    <t xml:space="preserve"> </t>
  </si>
  <si>
    <t>average sales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</si>
</sst>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4" fontId="3" fillId="0" borderId="3" xfId="0" applyNumberFormat="1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14" fontId="3" fillId="0" borderId="9" xfId="0" applyNumberFormat="1" applyFont="1" applyBorder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numFmt numFmtId="19" formatCode="dd/mm/yyyy"/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none"/>
      </font>
      <alignment horizontal="center" vertical="bottom" textRotation="0" wrapText="1" indent="0" relativeIndent="0" justifyLastLine="0" shrinkToFit="0" mergeCell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numFmt numFmtId="0" formatCode="General"/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1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1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Sales by Product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[1]Sheet1!$G$1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[1]Sheet1!$C$2:$C$53</c:f>
              <c:strCache>
                <c:ptCount val="52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North</c:v>
                </c:pt>
                <c:pt idx="5">
                  <c:v>South</c:v>
                </c:pt>
                <c:pt idx="6">
                  <c:v>East</c:v>
                </c:pt>
                <c:pt idx="7">
                  <c:v>West</c:v>
                </c:pt>
                <c:pt idx="8">
                  <c:v>North</c:v>
                </c:pt>
                <c:pt idx="9">
                  <c:v>South</c:v>
                </c:pt>
                <c:pt idx="10">
                  <c:v>East</c:v>
                </c:pt>
                <c:pt idx="11">
                  <c:v>West</c:v>
                </c:pt>
                <c:pt idx="12">
                  <c:v>North</c:v>
                </c:pt>
                <c:pt idx="13">
                  <c:v>South</c:v>
                </c:pt>
                <c:pt idx="14">
                  <c:v>East</c:v>
                </c:pt>
                <c:pt idx="15">
                  <c:v>West</c:v>
                </c:pt>
                <c:pt idx="16">
                  <c:v>North</c:v>
                </c:pt>
                <c:pt idx="17">
                  <c:v>South</c:v>
                </c:pt>
                <c:pt idx="18">
                  <c:v>East</c:v>
                </c:pt>
                <c:pt idx="19">
                  <c:v>West</c:v>
                </c:pt>
                <c:pt idx="20">
                  <c:v>North</c:v>
                </c:pt>
                <c:pt idx="21">
                  <c:v>South</c:v>
                </c:pt>
                <c:pt idx="22">
                  <c:v>East</c:v>
                </c:pt>
                <c:pt idx="23">
                  <c:v>West</c:v>
                </c:pt>
                <c:pt idx="24">
                  <c:v>North</c:v>
                </c:pt>
                <c:pt idx="25">
                  <c:v>South</c:v>
                </c:pt>
                <c:pt idx="26">
                  <c:v>East</c:v>
                </c:pt>
                <c:pt idx="27">
                  <c:v>West</c:v>
                </c:pt>
                <c:pt idx="28">
                  <c:v>North</c:v>
                </c:pt>
                <c:pt idx="29">
                  <c:v>South</c:v>
                </c:pt>
                <c:pt idx="30">
                  <c:v>East</c:v>
                </c:pt>
                <c:pt idx="31">
                  <c:v>West</c:v>
                </c:pt>
                <c:pt idx="32">
                  <c:v>North</c:v>
                </c:pt>
                <c:pt idx="33">
                  <c:v>South</c:v>
                </c:pt>
                <c:pt idx="34">
                  <c:v>East</c:v>
                </c:pt>
                <c:pt idx="35">
                  <c:v>West</c:v>
                </c:pt>
                <c:pt idx="36">
                  <c:v>North</c:v>
                </c:pt>
                <c:pt idx="37">
                  <c:v>South</c:v>
                </c:pt>
                <c:pt idx="38">
                  <c:v>East</c:v>
                </c:pt>
                <c:pt idx="39">
                  <c:v>West</c:v>
                </c:pt>
                <c:pt idx="40">
                  <c:v>North</c:v>
                </c:pt>
                <c:pt idx="41">
                  <c:v>South</c:v>
                </c:pt>
                <c:pt idx="42">
                  <c:v>East</c:v>
                </c:pt>
                <c:pt idx="43">
                  <c:v>West</c:v>
                </c:pt>
                <c:pt idx="44">
                  <c:v>North</c:v>
                </c:pt>
                <c:pt idx="45">
                  <c:v>South</c:v>
                </c:pt>
                <c:pt idx="46">
                  <c:v>East</c:v>
                </c:pt>
                <c:pt idx="47">
                  <c:v>West</c:v>
                </c:pt>
                <c:pt idx="48">
                  <c:v>North</c:v>
                </c:pt>
                <c:pt idx="49">
                  <c:v>South</c:v>
                </c:pt>
              </c:strCache>
            </c:strRef>
          </c:cat>
          <c:val>
            <c:numRef>
              <c:f>[1]Sheet1!$G$2:$G$53</c:f>
              <c:numCache>
                <c:formatCode>General</c:formatCode>
                <c:ptCount val="52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axId val="97694464"/>
        <c:axId val="97696000"/>
      </c:barChart>
      <c:catAx>
        <c:axId val="97694464"/>
        <c:scaling>
          <c:orientation val="minMax"/>
        </c:scaling>
        <c:axPos val="b"/>
        <c:maj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97696000"/>
        <c:crosses val="autoZero"/>
        <c:lblAlgn val="ctr"/>
        <c:lblOffset val="100"/>
      </c:catAx>
      <c:valAx>
        <c:axId val="9769600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9769446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txPr>
    <a:bodyPr/>
    <a:lstStyle/>
    <a:p>
      <a:pPr>
        <a:defRPr sz="80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Daily Sales Trend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3.2001365611023173E-2"/>
          <c:y val="1.2162843384364918E-2"/>
          <c:w val="0.8640672561541668"/>
          <c:h val="0.82653845022213945"/>
        </c:manualLayout>
      </c:layout>
      <c:lineChart>
        <c:grouping val="standard"/>
        <c:ser>
          <c:idx val="0"/>
          <c:order val="0"/>
          <c:tx>
            <c:strRef>
              <c:f>[1]Sheet1!$G$1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[1]Sheet1!$A$2:$A$53</c:f>
              <c:numCache>
                <c:formatCode>General</c:formatCode>
                <c:ptCount val="52"/>
                <c:pt idx="0">
                  <c:v>1001</c:v>
                </c:pt>
                <c:pt idx="1">
                  <c:v>1002</c:v>
                </c:pt>
                <c:pt idx="2">
                  <c:v>1003</c:v>
                </c:pt>
                <c:pt idx="3">
                  <c:v>1004</c:v>
                </c:pt>
                <c:pt idx="4">
                  <c:v>1005</c:v>
                </c:pt>
                <c:pt idx="5">
                  <c:v>1006</c:v>
                </c:pt>
                <c:pt idx="6">
                  <c:v>1007</c:v>
                </c:pt>
                <c:pt idx="7">
                  <c:v>1008</c:v>
                </c:pt>
                <c:pt idx="8">
                  <c:v>1009</c:v>
                </c:pt>
                <c:pt idx="9">
                  <c:v>1010</c:v>
                </c:pt>
                <c:pt idx="10">
                  <c:v>1011</c:v>
                </c:pt>
                <c:pt idx="11">
                  <c:v>1012</c:v>
                </c:pt>
                <c:pt idx="12">
                  <c:v>1013</c:v>
                </c:pt>
                <c:pt idx="13">
                  <c:v>1014</c:v>
                </c:pt>
                <c:pt idx="14">
                  <c:v>1015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</c:numCache>
            </c:numRef>
          </c:cat>
          <c:val>
            <c:numRef>
              <c:f>[1]Sheet1!$G$2:$G$53</c:f>
              <c:numCache>
                <c:formatCode>General</c:formatCode>
                <c:ptCount val="52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marker val="1"/>
        <c:axId val="97712384"/>
        <c:axId val="97853440"/>
      </c:lineChart>
      <c:catAx>
        <c:axId val="97712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/>
          <a:lstStyle/>
          <a:p>
            <a:pPr>
              <a:defRPr sz="1600"/>
            </a:pPr>
            <a:endParaRPr lang="en-US"/>
          </a:p>
        </c:txPr>
        <c:crossAx val="97853440"/>
        <c:crosses val="autoZero"/>
        <c:lblAlgn val="ctr"/>
        <c:lblOffset val="100"/>
      </c:catAx>
      <c:valAx>
        <c:axId val="978534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9771238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txPr>
    <a:bodyPr/>
    <a:lstStyle/>
    <a:p>
      <a:pPr>
        <a:defRPr sz="800"/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453881</xdr:colOff>
      <xdr:row>15</xdr:row>
      <xdr:rowOff>122904</xdr:rowOff>
    </xdr:from>
    <xdr:to>
      <xdr:col>23</xdr:col>
      <xdr:colOff>159774</xdr:colOff>
      <xdr:row>43</xdr:row>
      <xdr:rowOff>73743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365513</xdr:colOff>
      <xdr:row>44</xdr:row>
      <xdr:rowOff>2334</xdr:rowOff>
    </xdr:from>
    <xdr:to>
      <xdr:col>23</xdr:col>
      <xdr:colOff>122902</xdr:colOff>
      <xdr:row>65</xdr:row>
      <xdr:rowOff>86032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l_assignme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Q1-Q3"/>
    </sheetNames>
    <sheetDataSet>
      <sheetData sheetId="0">
        <row r="1">
          <cell r="G1" t="str">
            <v>Total Sales</v>
          </cell>
        </row>
        <row r="2">
          <cell r="A2">
            <v>1001</v>
          </cell>
          <cell r="C2" t="str">
            <v>North</v>
          </cell>
          <cell r="G2">
            <v>500</v>
          </cell>
        </row>
        <row r="3">
          <cell r="A3">
            <v>1002</v>
          </cell>
          <cell r="C3" t="str">
            <v>South</v>
          </cell>
          <cell r="G3">
            <v>200</v>
          </cell>
        </row>
        <row r="4">
          <cell r="A4">
            <v>1003</v>
          </cell>
          <cell r="C4" t="str">
            <v>East</v>
          </cell>
          <cell r="G4">
            <v>375</v>
          </cell>
        </row>
        <row r="5">
          <cell r="A5">
            <v>1004</v>
          </cell>
          <cell r="C5" t="str">
            <v>West</v>
          </cell>
          <cell r="G5">
            <v>250</v>
          </cell>
        </row>
        <row r="6">
          <cell r="A6">
            <v>1005</v>
          </cell>
          <cell r="C6" t="str">
            <v>North</v>
          </cell>
          <cell r="G6">
            <v>150</v>
          </cell>
        </row>
        <row r="7">
          <cell r="A7">
            <v>1006</v>
          </cell>
          <cell r="C7" t="str">
            <v>South</v>
          </cell>
          <cell r="G7">
            <v>600</v>
          </cell>
        </row>
        <row r="8">
          <cell r="A8">
            <v>1007</v>
          </cell>
          <cell r="C8" t="str">
            <v>East</v>
          </cell>
          <cell r="G8">
            <v>200</v>
          </cell>
        </row>
        <row r="9">
          <cell r="A9">
            <v>1008</v>
          </cell>
          <cell r="C9" t="str">
            <v>West</v>
          </cell>
          <cell r="G9">
            <v>180</v>
          </cell>
        </row>
        <row r="10">
          <cell r="A10">
            <v>1009</v>
          </cell>
          <cell r="C10" t="str">
            <v>North</v>
          </cell>
          <cell r="G10">
            <v>550</v>
          </cell>
        </row>
        <row r="11">
          <cell r="A11">
            <v>1010</v>
          </cell>
          <cell r="C11" t="str">
            <v>South</v>
          </cell>
          <cell r="G11">
            <v>400</v>
          </cell>
        </row>
        <row r="12">
          <cell r="A12">
            <v>1011</v>
          </cell>
          <cell r="C12" t="str">
            <v>East</v>
          </cell>
          <cell r="G12">
            <v>200</v>
          </cell>
        </row>
        <row r="13">
          <cell r="A13">
            <v>1012</v>
          </cell>
          <cell r="C13" t="str">
            <v>West</v>
          </cell>
          <cell r="G13">
            <v>280</v>
          </cell>
        </row>
        <row r="14">
          <cell r="A14">
            <v>1013</v>
          </cell>
          <cell r="C14" t="str">
            <v>North</v>
          </cell>
          <cell r="G14">
            <v>700</v>
          </cell>
        </row>
        <row r="15">
          <cell r="A15">
            <v>1014</v>
          </cell>
          <cell r="C15" t="str">
            <v>South</v>
          </cell>
          <cell r="G15">
            <v>280</v>
          </cell>
        </row>
        <row r="16">
          <cell r="A16">
            <v>1015</v>
          </cell>
          <cell r="C16" t="str">
            <v>East</v>
          </cell>
          <cell r="G16">
            <v>300</v>
          </cell>
        </row>
        <row r="17">
          <cell r="A17">
            <v>1016</v>
          </cell>
          <cell r="C17" t="str">
            <v>West</v>
          </cell>
          <cell r="G17">
            <v>125</v>
          </cell>
        </row>
        <row r="18">
          <cell r="A18">
            <v>1017</v>
          </cell>
          <cell r="C18" t="str">
            <v>North</v>
          </cell>
          <cell r="G18">
            <v>160</v>
          </cell>
        </row>
        <row r="19">
          <cell r="A19">
            <v>1018</v>
          </cell>
          <cell r="C19" t="str">
            <v>South</v>
          </cell>
          <cell r="G19">
            <v>500</v>
          </cell>
        </row>
        <row r="20">
          <cell r="A20">
            <v>1019</v>
          </cell>
          <cell r="C20" t="str">
            <v>East</v>
          </cell>
          <cell r="G20">
            <v>150</v>
          </cell>
        </row>
        <row r="21">
          <cell r="A21">
            <v>1020</v>
          </cell>
          <cell r="C21" t="str">
            <v>West</v>
          </cell>
          <cell r="G21">
            <v>450</v>
          </cell>
        </row>
        <row r="22">
          <cell r="A22">
            <v>1021</v>
          </cell>
          <cell r="C22" t="str">
            <v>North</v>
          </cell>
          <cell r="G22">
            <v>450</v>
          </cell>
        </row>
        <row r="23">
          <cell r="A23">
            <v>1022</v>
          </cell>
          <cell r="C23" t="str">
            <v>South</v>
          </cell>
          <cell r="G23">
            <v>175</v>
          </cell>
        </row>
        <row r="24">
          <cell r="A24">
            <v>1023</v>
          </cell>
          <cell r="C24" t="str">
            <v>East</v>
          </cell>
          <cell r="G24">
            <v>240</v>
          </cell>
        </row>
        <row r="25">
          <cell r="A25">
            <v>1024</v>
          </cell>
          <cell r="C25" t="str">
            <v>West</v>
          </cell>
          <cell r="G25">
            <v>550</v>
          </cell>
        </row>
        <row r="26">
          <cell r="A26">
            <v>1025</v>
          </cell>
          <cell r="C26" t="str">
            <v>North</v>
          </cell>
          <cell r="G26">
            <v>140</v>
          </cell>
        </row>
        <row r="27">
          <cell r="A27">
            <v>1026</v>
          </cell>
          <cell r="C27" t="str">
            <v>South</v>
          </cell>
          <cell r="G27">
            <v>400</v>
          </cell>
        </row>
        <row r="28">
          <cell r="A28">
            <v>1027</v>
          </cell>
          <cell r="C28" t="str">
            <v>East</v>
          </cell>
          <cell r="G28">
            <v>110</v>
          </cell>
        </row>
        <row r="29">
          <cell r="A29">
            <v>1028</v>
          </cell>
          <cell r="C29" t="str">
            <v>West</v>
          </cell>
          <cell r="G29">
            <v>216</v>
          </cell>
        </row>
        <row r="30">
          <cell r="A30">
            <v>1029</v>
          </cell>
          <cell r="C30" t="str">
            <v>North</v>
          </cell>
          <cell r="G30">
            <v>650</v>
          </cell>
        </row>
        <row r="31">
          <cell r="A31">
            <v>1030</v>
          </cell>
          <cell r="C31" t="str">
            <v>South</v>
          </cell>
          <cell r="G31">
            <v>320</v>
          </cell>
        </row>
        <row r="32">
          <cell r="A32">
            <v>1031</v>
          </cell>
          <cell r="C32" t="str">
            <v>East</v>
          </cell>
          <cell r="G32">
            <v>250</v>
          </cell>
        </row>
        <row r="33">
          <cell r="A33">
            <v>1032</v>
          </cell>
          <cell r="C33" t="str">
            <v>West</v>
          </cell>
          <cell r="G33">
            <v>90</v>
          </cell>
        </row>
        <row r="34">
          <cell r="A34">
            <v>1033</v>
          </cell>
          <cell r="C34" t="str">
            <v>North</v>
          </cell>
          <cell r="G34">
            <v>176</v>
          </cell>
        </row>
        <row r="35">
          <cell r="A35">
            <v>1034</v>
          </cell>
          <cell r="C35" t="str">
            <v>South</v>
          </cell>
          <cell r="G35">
            <v>850</v>
          </cell>
        </row>
        <row r="36">
          <cell r="A36">
            <v>1035</v>
          </cell>
          <cell r="C36" t="str">
            <v>East</v>
          </cell>
          <cell r="G36">
            <v>190</v>
          </cell>
        </row>
        <row r="37">
          <cell r="A37">
            <v>1036</v>
          </cell>
          <cell r="C37" t="str">
            <v>West</v>
          </cell>
          <cell r="G37">
            <v>375</v>
          </cell>
        </row>
        <row r="38">
          <cell r="A38">
            <v>1037</v>
          </cell>
          <cell r="C38" t="str">
            <v>North</v>
          </cell>
          <cell r="G38">
            <v>140</v>
          </cell>
        </row>
        <row r="39">
          <cell r="A39">
            <v>1038</v>
          </cell>
          <cell r="C39" t="str">
            <v>South</v>
          </cell>
          <cell r="G39">
            <v>192</v>
          </cell>
        </row>
        <row r="40">
          <cell r="A40">
            <v>1039</v>
          </cell>
          <cell r="C40" t="str">
            <v>East</v>
          </cell>
          <cell r="G40">
            <v>800</v>
          </cell>
        </row>
        <row r="41">
          <cell r="A41">
            <v>1040</v>
          </cell>
          <cell r="C41" t="str">
            <v>West</v>
          </cell>
          <cell r="G41">
            <v>270</v>
          </cell>
        </row>
        <row r="42">
          <cell r="A42">
            <v>1041</v>
          </cell>
          <cell r="C42" t="str">
            <v>North</v>
          </cell>
          <cell r="G42">
            <v>525</v>
          </cell>
        </row>
        <row r="43">
          <cell r="A43">
            <v>1042</v>
          </cell>
          <cell r="C43" t="str">
            <v>South</v>
          </cell>
          <cell r="G43">
            <v>150</v>
          </cell>
        </row>
        <row r="44">
          <cell r="A44">
            <v>1043</v>
          </cell>
          <cell r="C44" t="str">
            <v>East</v>
          </cell>
          <cell r="G44">
            <v>208</v>
          </cell>
        </row>
        <row r="45">
          <cell r="A45">
            <v>1044</v>
          </cell>
          <cell r="C45" t="str">
            <v>West</v>
          </cell>
          <cell r="G45">
            <v>700</v>
          </cell>
        </row>
        <row r="46">
          <cell r="A46">
            <v>1045</v>
          </cell>
          <cell r="C46" t="str">
            <v>North</v>
          </cell>
          <cell r="G46">
            <v>200</v>
          </cell>
        </row>
        <row r="47">
          <cell r="A47">
            <v>1046</v>
          </cell>
          <cell r="C47" t="str">
            <v>South</v>
          </cell>
          <cell r="G47">
            <v>425</v>
          </cell>
        </row>
        <row r="48">
          <cell r="A48">
            <v>1047</v>
          </cell>
          <cell r="C48" t="str">
            <v>East</v>
          </cell>
          <cell r="G48">
            <v>95</v>
          </cell>
        </row>
        <row r="49">
          <cell r="A49">
            <v>1048</v>
          </cell>
          <cell r="C49" t="str">
            <v>West</v>
          </cell>
          <cell r="G49">
            <v>256</v>
          </cell>
        </row>
        <row r="50">
          <cell r="A50">
            <v>1049</v>
          </cell>
          <cell r="C50" t="str">
            <v>North</v>
          </cell>
          <cell r="G50">
            <v>600</v>
          </cell>
        </row>
        <row r="51">
          <cell r="A51">
            <v>1050</v>
          </cell>
          <cell r="C51" t="str">
            <v>South</v>
          </cell>
          <cell r="G51">
            <v>250</v>
          </cell>
        </row>
        <row r="52">
          <cell r="G52">
            <v>0</v>
          </cell>
        </row>
        <row r="53">
          <cell r="G53">
            <v>0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A1:E4" totalsRowShown="0" headerRowDxfId="24" dataDxfId="23">
  <autoFilter ref="A1:E4"/>
  <tableColumns count="5">
    <tableColumn id="1" name="Vehicle" dataDxfId="22"/>
    <tableColumn id="2" name="Price" dataDxfId="21"/>
    <tableColumn id="3" name="Tax" dataDxfId="20"/>
    <tableColumn id="4" name="Tax Amount" dataDxfId="19">
      <calculatedColumnFormula>B2*$C$2</calculatedColumnFormula>
    </tableColumn>
    <tableColumn id="5" name="Extra 5%" dataDxfId="18">
      <calculatedColumnFormula>B2*5%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8:G58" totalsRowShown="0" headerRowDxfId="1" dataDxfId="0" headerRowBorderDxfId="10" tableBorderDxfId="11" totalsRowBorderDxfId="9">
  <autoFilter ref="A8:G58"/>
  <tableColumns count="7">
    <tableColumn id="1" name="OrderID" dataDxfId="8"/>
    <tableColumn id="2" name="CustomerName" dataDxfId="7"/>
    <tableColumn id="3" name="Region" dataDxfId="6"/>
    <tableColumn id="4" name="Product" dataDxfId="5"/>
    <tableColumn id="5" name="Quantity" dataDxfId="4"/>
    <tableColumn id="6" name="UnitPrice" dataDxfId="3"/>
    <tableColumn id="7" name="OrderDate" dataDxfId="2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L2:O5" totalsRowShown="0" headerRowDxfId="13" dataDxfId="12">
  <autoFilter ref="L2:O5"/>
  <tableColumns count="4">
    <tableColumn id="1" name="Item" dataDxfId="17"/>
    <tableColumn id="2" name="Price" dataDxfId="16"/>
    <tableColumn id="3" name="Sales" dataDxfId="15"/>
    <tableColumn id="4" name="Avg" dataDxfId="14">
      <calculatedColumnFormula>IF(AND(L4&gt;100,L4&lt;300),M4,"")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8"/>
  <sheetViews>
    <sheetView tabSelected="1" zoomScale="62" zoomScaleNormal="62" workbookViewId="0">
      <selection activeCell="Q12" sqref="Q12"/>
    </sheetView>
  </sheetViews>
  <sheetFormatPr defaultRowHeight="14.4"/>
  <cols>
    <col min="1" max="1" width="13.6640625" customWidth="1"/>
    <col min="2" max="2" width="23.5546875" customWidth="1"/>
    <col min="4" max="4" width="17.88671875" customWidth="1"/>
    <col min="5" max="5" width="10.21875" customWidth="1"/>
    <col min="6" max="6" width="10.5546875" customWidth="1"/>
    <col min="7" max="7" width="15.44140625" customWidth="1"/>
    <col min="12" max="12" width="15.44140625" customWidth="1"/>
    <col min="13" max="13" width="12.88671875" customWidth="1"/>
    <col min="14" max="14" width="16" customWidth="1"/>
    <col min="15" max="15" width="14.77734375" customWidth="1"/>
    <col min="17" max="17" width="21.886718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0" ht="18">
      <c r="A2" s="1" t="s">
        <v>5</v>
      </c>
      <c r="B2" s="1">
        <v>500000</v>
      </c>
      <c r="C2" s="1">
        <v>0.1</v>
      </c>
      <c r="D2" s="1">
        <f>B2*$C$2</f>
        <v>50000</v>
      </c>
      <c r="E2" s="1">
        <f>B2*5%</f>
        <v>25000</v>
      </c>
      <c r="L2" s="13" t="s">
        <v>79</v>
      </c>
      <c r="M2" s="13" t="s">
        <v>1</v>
      </c>
      <c r="N2" s="13" t="s">
        <v>78</v>
      </c>
      <c r="O2" s="13" t="s">
        <v>77</v>
      </c>
      <c r="P2" s="2"/>
      <c r="Q2" s="2"/>
      <c r="R2" s="2"/>
      <c r="S2" s="2"/>
      <c r="T2" s="2"/>
    </row>
    <row r="3" spans="1:20" ht="23.4" customHeight="1">
      <c r="A3" s="1" t="s">
        <v>6</v>
      </c>
      <c r="B3" s="1">
        <v>10500</v>
      </c>
      <c r="C3" s="1">
        <v>0.1</v>
      </c>
      <c r="D3" s="1">
        <f>B3*$C$2</f>
        <v>1050</v>
      </c>
      <c r="E3" s="1">
        <f>B3*5%</f>
        <v>525</v>
      </c>
      <c r="L3" s="14" t="s">
        <v>74</v>
      </c>
      <c r="M3" s="14">
        <v>90</v>
      </c>
      <c r="N3" s="14">
        <v>1000</v>
      </c>
      <c r="O3" s="15">
        <v>545</v>
      </c>
      <c r="P3" s="2"/>
      <c r="Q3" s="12" t="s">
        <v>81</v>
      </c>
      <c r="R3" s="2"/>
      <c r="S3" s="2">
        <f>AVERAGEIFS(N4:N5,M4:M5,"&gt;100",M4:M5,"&lt;300")</f>
        <v>1350</v>
      </c>
      <c r="T3" s="2"/>
    </row>
    <row r="4" spans="1:20" ht="18">
      <c r="A4" s="1" t="s">
        <v>7</v>
      </c>
      <c r="B4" s="1">
        <v>25000</v>
      </c>
      <c r="C4" s="1">
        <v>0.1</v>
      </c>
      <c r="D4" s="1">
        <f>B4*$C$2</f>
        <v>2500</v>
      </c>
      <c r="E4" s="1">
        <f>B4*5%</f>
        <v>1250</v>
      </c>
      <c r="L4" s="14" t="s">
        <v>75</v>
      </c>
      <c r="M4" s="14">
        <v>150</v>
      </c>
      <c r="N4" s="14">
        <v>1200</v>
      </c>
      <c r="O4" s="16">
        <v>675</v>
      </c>
      <c r="P4" s="2"/>
      <c r="Q4" s="2"/>
      <c r="R4" s="2"/>
      <c r="S4" s="2"/>
      <c r="T4" s="2"/>
    </row>
    <row r="5" spans="1:20" ht="18">
      <c r="L5" s="14" t="s">
        <v>76</v>
      </c>
      <c r="M5" s="14">
        <v>250</v>
      </c>
      <c r="N5" s="14">
        <v>1500</v>
      </c>
      <c r="O5" s="16">
        <v>875</v>
      </c>
      <c r="P5" s="2"/>
      <c r="Q5" s="2"/>
      <c r="R5" s="2"/>
      <c r="S5" s="2"/>
      <c r="T5" s="2"/>
    </row>
    <row r="6" spans="1:20" ht="18">
      <c r="L6" s="2"/>
      <c r="M6" s="2"/>
      <c r="N6" s="2" t="s">
        <v>80</v>
      </c>
      <c r="O6" s="2"/>
      <c r="P6" s="2"/>
      <c r="Q6" s="2"/>
      <c r="R6" s="2"/>
      <c r="S6" s="2"/>
      <c r="T6" s="2"/>
    </row>
    <row r="7" spans="1:20" ht="18">
      <c r="L7" s="2"/>
      <c r="M7" s="2"/>
      <c r="N7" s="2"/>
      <c r="O7" s="2"/>
      <c r="P7" s="2"/>
      <c r="Q7" s="2"/>
      <c r="R7" s="2"/>
      <c r="S7" s="2"/>
      <c r="T7" s="2"/>
    </row>
    <row r="8" spans="1:20" ht="36.6" thickBot="1">
      <c r="A8" s="3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5" t="s">
        <v>14</v>
      </c>
    </row>
    <row r="9" spans="1:20" ht="18.600000000000001" thickBot="1">
      <c r="A9" s="6">
        <v>1001</v>
      </c>
      <c r="B9" s="7" t="s">
        <v>15</v>
      </c>
      <c r="C9" s="7" t="s">
        <v>16</v>
      </c>
      <c r="D9" s="7" t="s">
        <v>17</v>
      </c>
      <c r="E9" s="7">
        <v>10</v>
      </c>
      <c r="F9" s="7">
        <v>50</v>
      </c>
      <c r="G9" s="8">
        <v>45296</v>
      </c>
    </row>
    <row r="10" spans="1:20" ht="18.600000000000001" thickBot="1">
      <c r="A10" s="6">
        <v>1002</v>
      </c>
      <c r="B10" s="7" t="s">
        <v>18</v>
      </c>
      <c r="C10" s="7" t="s">
        <v>19</v>
      </c>
      <c r="D10" s="7" t="s">
        <v>20</v>
      </c>
      <c r="E10" s="7">
        <v>20</v>
      </c>
      <c r="F10" s="2">
        <v>10</v>
      </c>
      <c r="G10" s="8">
        <v>45297</v>
      </c>
    </row>
    <row r="11" spans="1:20" ht="18.600000000000001" thickBot="1">
      <c r="A11" s="6">
        <v>1003</v>
      </c>
      <c r="B11" s="7" t="s">
        <v>21</v>
      </c>
      <c r="C11" s="7" t="s">
        <v>22</v>
      </c>
      <c r="D11" s="7" t="s">
        <v>23</v>
      </c>
      <c r="E11" s="7">
        <v>15</v>
      </c>
      <c r="F11" s="7">
        <v>25</v>
      </c>
      <c r="G11" s="8">
        <v>45298</v>
      </c>
    </row>
    <row r="12" spans="1:20" ht="18.600000000000001" thickBot="1">
      <c r="A12" s="6">
        <v>1004</v>
      </c>
      <c r="B12" s="7" t="s">
        <v>24</v>
      </c>
      <c r="C12" s="7" t="s">
        <v>25</v>
      </c>
      <c r="D12" s="7" t="s">
        <v>17</v>
      </c>
      <c r="E12" s="7">
        <v>5</v>
      </c>
      <c r="F12" s="7">
        <v>50</v>
      </c>
      <c r="G12" s="8">
        <v>45299</v>
      </c>
    </row>
    <row r="13" spans="1:20" ht="18.600000000000001" thickBot="1">
      <c r="A13" s="6">
        <v>1005</v>
      </c>
      <c r="B13" s="7" t="s">
        <v>26</v>
      </c>
      <c r="C13" s="7" t="s">
        <v>16</v>
      </c>
      <c r="D13" s="7" t="s">
        <v>27</v>
      </c>
      <c r="E13" s="7">
        <v>30</v>
      </c>
      <c r="F13" s="7">
        <v>5</v>
      </c>
      <c r="G13" s="8">
        <v>45301</v>
      </c>
    </row>
    <row r="14" spans="1:20" ht="18.600000000000001" thickBot="1">
      <c r="A14" s="6">
        <v>1006</v>
      </c>
      <c r="B14" s="7" t="s">
        <v>28</v>
      </c>
      <c r="C14" s="7" t="s">
        <v>19</v>
      </c>
      <c r="D14" s="7" t="s">
        <v>17</v>
      </c>
      <c r="E14" s="7">
        <v>12</v>
      </c>
      <c r="F14" s="7">
        <v>50</v>
      </c>
      <c r="G14" s="8">
        <v>45302</v>
      </c>
    </row>
    <row r="15" spans="1:20" ht="18.600000000000001" thickBot="1">
      <c r="A15" s="6">
        <v>1007</v>
      </c>
      <c r="B15" s="7" t="s">
        <v>29</v>
      </c>
      <c r="C15" s="7" t="s">
        <v>22</v>
      </c>
      <c r="D15" s="7" t="s">
        <v>30</v>
      </c>
      <c r="E15" s="7">
        <v>25</v>
      </c>
      <c r="F15" s="7">
        <v>8</v>
      </c>
      <c r="G15" s="8">
        <v>45304</v>
      </c>
    </row>
    <row r="16" spans="1:20" ht="18.600000000000001" thickBot="1">
      <c r="A16" s="6">
        <v>1008</v>
      </c>
      <c r="B16" s="7" t="s">
        <v>31</v>
      </c>
      <c r="C16" s="7" t="s">
        <v>25</v>
      </c>
      <c r="D16" s="7" t="s">
        <v>20</v>
      </c>
      <c r="E16" s="7">
        <v>18</v>
      </c>
      <c r="F16" s="7">
        <v>10</v>
      </c>
      <c r="G16" s="8">
        <v>45306</v>
      </c>
    </row>
    <row r="17" spans="1:7" ht="18.600000000000001" thickBot="1">
      <c r="A17" s="6">
        <v>1009</v>
      </c>
      <c r="B17" s="7" t="s">
        <v>32</v>
      </c>
      <c r="C17" s="7" t="s">
        <v>16</v>
      </c>
      <c r="D17" s="7" t="s">
        <v>23</v>
      </c>
      <c r="E17" s="7">
        <v>22</v>
      </c>
      <c r="F17" s="7">
        <v>25</v>
      </c>
      <c r="G17" s="8">
        <v>45308</v>
      </c>
    </row>
    <row r="18" spans="1:7" ht="18.600000000000001" thickBot="1">
      <c r="A18" s="6">
        <v>1010</v>
      </c>
      <c r="B18" s="7" t="s">
        <v>33</v>
      </c>
      <c r="C18" s="7" t="s">
        <v>19</v>
      </c>
      <c r="D18" s="7" t="s">
        <v>17</v>
      </c>
      <c r="E18" s="7">
        <v>8</v>
      </c>
      <c r="F18" s="7">
        <v>50</v>
      </c>
      <c r="G18" s="8">
        <v>45309</v>
      </c>
    </row>
    <row r="19" spans="1:7" ht="18.600000000000001" thickBot="1">
      <c r="A19" s="6">
        <v>1011</v>
      </c>
      <c r="B19" s="7" t="s">
        <v>34</v>
      </c>
      <c r="C19" s="7" t="s">
        <v>22</v>
      </c>
      <c r="D19" s="7" t="s">
        <v>27</v>
      </c>
      <c r="E19" s="7">
        <v>40</v>
      </c>
      <c r="F19" s="7">
        <v>5</v>
      </c>
      <c r="G19" s="8">
        <v>45310</v>
      </c>
    </row>
    <row r="20" spans="1:7" ht="36.6" thickBot="1">
      <c r="A20" s="6">
        <v>1012</v>
      </c>
      <c r="B20" s="7" t="s">
        <v>35</v>
      </c>
      <c r="C20" s="7" t="s">
        <v>25</v>
      </c>
      <c r="D20" s="7" t="s">
        <v>30</v>
      </c>
      <c r="E20" s="7">
        <v>35</v>
      </c>
      <c r="F20" s="7">
        <v>8</v>
      </c>
      <c r="G20" s="8">
        <v>45311</v>
      </c>
    </row>
    <row r="21" spans="1:7" ht="18.600000000000001" thickBot="1">
      <c r="A21" s="6">
        <v>1013</v>
      </c>
      <c r="B21" s="7" t="s">
        <v>36</v>
      </c>
      <c r="C21" s="7" t="s">
        <v>16</v>
      </c>
      <c r="D21" s="7" t="s">
        <v>17</v>
      </c>
      <c r="E21" s="7">
        <v>14</v>
      </c>
      <c r="F21" s="7">
        <v>50</v>
      </c>
      <c r="G21" s="8">
        <v>45313</v>
      </c>
    </row>
    <row r="22" spans="1:7" ht="18.600000000000001" thickBot="1">
      <c r="A22" s="6">
        <v>1014</v>
      </c>
      <c r="B22" s="7" t="s">
        <v>37</v>
      </c>
      <c r="C22" s="7" t="s">
        <v>19</v>
      </c>
      <c r="D22" s="7" t="s">
        <v>20</v>
      </c>
      <c r="E22" s="7">
        <v>28</v>
      </c>
      <c r="F22" s="7">
        <v>10</v>
      </c>
      <c r="G22" s="8">
        <v>45314</v>
      </c>
    </row>
    <row r="23" spans="1:7" ht="18.600000000000001" thickBot="1">
      <c r="A23" s="6">
        <v>1015</v>
      </c>
      <c r="B23" s="7" t="s">
        <v>38</v>
      </c>
      <c r="C23" s="7" t="s">
        <v>22</v>
      </c>
      <c r="D23" s="7" t="s">
        <v>23</v>
      </c>
      <c r="E23" s="7">
        <v>12</v>
      </c>
      <c r="F23" s="7">
        <v>25</v>
      </c>
      <c r="G23" s="8">
        <v>45315</v>
      </c>
    </row>
    <row r="24" spans="1:7" ht="18.600000000000001" thickBot="1">
      <c r="A24" s="6">
        <v>1016</v>
      </c>
      <c r="B24" s="7" t="s">
        <v>39</v>
      </c>
      <c r="C24" s="7" t="s">
        <v>25</v>
      </c>
      <c r="D24" s="7" t="s">
        <v>27</v>
      </c>
      <c r="E24" s="7">
        <v>25</v>
      </c>
      <c r="F24" s="7">
        <v>5</v>
      </c>
      <c r="G24" s="8">
        <v>45317</v>
      </c>
    </row>
    <row r="25" spans="1:7" ht="18.600000000000001" thickBot="1">
      <c r="A25" s="6">
        <v>1017</v>
      </c>
      <c r="B25" s="7" t="s">
        <v>40</v>
      </c>
      <c r="C25" s="7" t="s">
        <v>16</v>
      </c>
      <c r="D25" s="7" t="s">
        <v>30</v>
      </c>
      <c r="E25" s="7">
        <v>20</v>
      </c>
      <c r="F25" s="7">
        <v>8</v>
      </c>
      <c r="G25" s="8">
        <v>45319</v>
      </c>
    </row>
    <row r="26" spans="1:7" ht="18.600000000000001" thickBot="1">
      <c r="A26" s="6">
        <v>1018</v>
      </c>
      <c r="B26" s="7" t="s">
        <v>41</v>
      </c>
      <c r="C26" s="7" t="s">
        <v>19</v>
      </c>
      <c r="D26" s="7" t="s">
        <v>17</v>
      </c>
      <c r="E26" s="7">
        <v>10</v>
      </c>
      <c r="F26" s="7">
        <v>50</v>
      </c>
      <c r="G26" s="8">
        <v>45320</v>
      </c>
    </row>
    <row r="27" spans="1:7" ht="18.600000000000001" thickBot="1">
      <c r="A27" s="6">
        <v>1019</v>
      </c>
      <c r="B27" s="7" t="s">
        <v>42</v>
      </c>
      <c r="C27" s="7" t="s">
        <v>22</v>
      </c>
      <c r="D27" s="7" t="s">
        <v>20</v>
      </c>
      <c r="E27" s="7">
        <v>15</v>
      </c>
      <c r="F27" s="7">
        <v>10</v>
      </c>
      <c r="G27" s="8">
        <v>45321</v>
      </c>
    </row>
    <row r="28" spans="1:7" ht="18.600000000000001" thickBot="1">
      <c r="A28" s="6">
        <v>1020</v>
      </c>
      <c r="B28" s="7" t="s">
        <v>43</v>
      </c>
      <c r="C28" s="7" t="s">
        <v>25</v>
      </c>
      <c r="D28" s="7" t="s">
        <v>23</v>
      </c>
      <c r="E28" s="7">
        <v>18</v>
      </c>
      <c r="F28" s="7">
        <v>25</v>
      </c>
      <c r="G28" s="8">
        <v>45323</v>
      </c>
    </row>
    <row r="29" spans="1:7" ht="18.600000000000001" thickBot="1">
      <c r="A29" s="6">
        <v>1021</v>
      </c>
      <c r="B29" s="7" t="s">
        <v>44</v>
      </c>
      <c r="C29" s="7" t="s">
        <v>16</v>
      </c>
      <c r="D29" s="7" t="s">
        <v>17</v>
      </c>
      <c r="E29" s="7">
        <v>9</v>
      </c>
      <c r="F29" s="7">
        <v>50</v>
      </c>
      <c r="G29" s="8">
        <v>45324</v>
      </c>
    </row>
    <row r="30" spans="1:7" ht="18.600000000000001" thickBot="1">
      <c r="A30" s="6">
        <v>1022</v>
      </c>
      <c r="B30" s="7" t="s">
        <v>45</v>
      </c>
      <c r="C30" s="7" t="s">
        <v>19</v>
      </c>
      <c r="D30" s="7" t="s">
        <v>27</v>
      </c>
      <c r="E30" s="7">
        <v>35</v>
      </c>
      <c r="F30" s="7">
        <v>5</v>
      </c>
      <c r="G30" s="8">
        <v>45325</v>
      </c>
    </row>
    <row r="31" spans="1:7" ht="18.600000000000001" thickBot="1">
      <c r="A31" s="6">
        <v>1023</v>
      </c>
      <c r="B31" s="7" t="s">
        <v>46</v>
      </c>
      <c r="C31" s="7" t="s">
        <v>22</v>
      </c>
      <c r="D31" s="7" t="s">
        <v>30</v>
      </c>
      <c r="E31" s="7">
        <v>30</v>
      </c>
      <c r="F31" s="7">
        <v>8</v>
      </c>
      <c r="G31" s="8">
        <v>45326</v>
      </c>
    </row>
    <row r="32" spans="1:7" ht="18.600000000000001" thickBot="1">
      <c r="A32" s="6">
        <v>1024</v>
      </c>
      <c r="B32" s="7" t="s">
        <v>47</v>
      </c>
      <c r="C32" s="7" t="s">
        <v>25</v>
      </c>
      <c r="D32" s="7" t="s">
        <v>17</v>
      </c>
      <c r="E32" s="7">
        <v>11</v>
      </c>
      <c r="F32" s="7">
        <v>50</v>
      </c>
      <c r="G32" s="8">
        <v>45328</v>
      </c>
    </row>
    <row r="33" spans="1:7" ht="18.600000000000001" thickBot="1">
      <c r="A33" s="6">
        <v>1025</v>
      </c>
      <c r="B33" s="7" t="s">
        <v>48</v>
      </c>
      <c r="C33" s="7" t="s">
        <v>16</v>
      </c>
      <c r="D33" s="7" t="s">
        <v>20</v>
      </c>
      <c r="E33" s="7">
        <v>14</v>
      </c>
      <c r="F33" s="7">
        <v>10</v>
      </c>
      <c r="G33" s="8">
        <v>45329</v>
      </c>
    </row>
    <row r="34" spans="1:7" ht="18.600000000000001" thickBot="1">
      <c r="A34" s="6">
        <v>1026</v>
      </c>
      <c r="B34" s="7" t="s">
        <v>49</v>
      </c>
      <c r="C34" s="7" t="s">
        <v>19</v>
      </c>
      <c r="D34" s="7" t="s">
        <v>23</v>
      </c>
      <c r="E34" s="7">
        <v>16</v>
      </c>
      <c r="F34" s="7">
        <v>25</v>
      </c>
      <c r="G34" s="8">
        <v>45330</v>
      </c>
    </row>
    <row r="35" spans="1:7" ht="18.600000000000001" thickBot="1">
      <c r="A35" s="6">
        <v>1027</v>
      </c>
      <c r="B35" s="7" t="s">
        <v>50</v>
      </c>
      <c r="C35" s="7" t="s">
        <v>22</v>
      </c>
      <c r="D35" s="7" t="s">
        <v>27</v>
      </c>
      <c r="E35" s="7">
        <v>22</v>
      </c>
      <c r="F35" s="7">
        <v>5</v>
      </c>
      <c r="G35" s="8">
        <v>45331</v>
      </c>
    </row>
    <row r="36" spans="1:7" ht="18.600000000000001" thickBot="1">
      <c r="A36" s="6">
        <v>1028</v>
      </c>
      <c r="B36" s="7" t="s">
        <v>51</v>
      </c>
      <c r="C36" s="7" t="s">
        <v>25</v>
      </c>
      <c r="D36" s="7" t="s">
        <v>30</v>
      </c>
      <c r="E36" s="7">
        <v>27</v>
      </c>
      <c r="F36" s="7">
        <v>8</v>
      </c>
      <c r="G36" s="8">
        <v>45332</v>
      </c>
    </row>
    <row r="37" spans="1:7" ht="36.6" thickBot="1">
      <c r="A37" s="6">
        <v>1029</v>
      </c>
      <c r="B37" s="7" t="s">
        <v>52</v>
      </c>
      <c r="C37" s="7" t="s">
        <v>16</v>
      </c>
      <c r="D37" s="7" t="s">
        <v>17</v>
      </c>
      <c r="E37" s="7">
        <v>13</v>
      </c>
      <c r="F37" s="7">
        <v>50</v>
      </c>
      <c r="G37" s="8">
        <v>45334</v>
      </c>
    </row>
    <row r="38" spans="1:7" ht="18.600000000000001" customHeight="1" thickBot="1">
      <c r="A38" s="6">
        <v>1030</v>
      </c>
      <c r="B38" s="7" t="s">
        <v>53</v>
      </c>
      <c r="C38" s="7" t="s">
        <v>19</v>
      </c>
      <c r="D38" s="7" t="s">
        <v>20</v>
      </c>
      <c r="E38" s="7">
        <v>32</v>
      </c>
      <c r="F38" s="7">
        <v>10</v>
      </c>
      <c r="G38" s="8">
        <v>45335</v>
      </c>
    </row>
    <row r="39" spans="1:7" ht="15.6" customHeight="1" thickBot="1">
      <c r="A39" s="6">
        <v>1031</v>
      </c>
      <c r="B39" s="7" t="s">
        <v>54</v>
      </c>
      <c r="C39" s="7" t="s">
        <v>22</v>
      </c>
      <c r="D39" s="7" t="s">
        <v>23</v>
      </c>
      <c r="E39" s="7">
        <v>10</v>
      </c>
      <c r="F39" s="7">
        <v>25</v>
      </c>
      <c r="G39" s="8">
        <v>45336</v>
      </c>
    </row>
    <row r="40" spans="1:7" ht="18.600000000000001" thickBot="1">
      <c r="A40" s="6">
        <v>1032</v>
      </c>
      <c r="B40" s="7" t="s">
        <v>55</v>
      </c>
      <c r="C40" s="7" t="s">
        <v>25</v>
      </c>
      <c r="D40" s="7" t="s">
        <v>27</v>
      </c>
      <c r="E40" s="7">
        <v>18</v>
      </c>
      <c r="F40" s="7">
        <v>5</v>
      </c>
      <c r="G40" s="8">
        <v>45338</v>
      </c>
    </row>
    <row r="41" spans="1:7" ht="18" customHeight="1" thickBot="1">
      <c r="A41" s="6">
        <v>1033</v>
      </c>
      <c r="B41" s="7" t="s">
        <v>56</v>
      </c>
      <c r="C41" s="7" t="s">
        <v>16</v>
      </c>
      <c r="D41" s="7" t="s">
        <v>30</v>
      </c>
      <c r="E41" s="7">
        <v>22</v>
      </c>
      <c r="F41" s="7">
        <v>8</v>
      </c>
      <c r="G41" s="8">
        <v>45339</v>
      </c>
    </row>
    <row r="42" spans="1:7" ht="18.600000000000001" thickBot="1">
      <c r="A42" s="6">
        <v>1034</v>
      </c>
      <c r="B42" s="7" t="s">
        <v>57</v>
      </c>
      <c r="C42" s="7" t="s">
        <v>19</v>
      </c>
      <c r="D42" s="7" t="s">
        <v>17</v>
      </c>
      <c r="E42" s="7">
        <v>17</v>
      </c>
      <c r="F42" s="7">
        <v>50</v>
      </c>
      <c r="G42" s="8">
        <v>45340</v>
      </c>
    </row>
    <row r="43" spans="1:7" ht="18.600000000000001" thickBot="1">
      <c r="A43" s="6">
        <v>1035</v>
      </c>
      <c r="B43" s="7" t="s">
        <v>58</v>
      </c>
      <c r="C43" s="7" t="s">
        <v>22</v>
      </c>
      <c r="D43" s="7" t="s">
        <v>20</v>
      </c>
      <c r="E43" s="7">
        <v>19</v>
      </c>
      <c r="F43" s="7">
        <v>10</v>
      </c>
      <c r="G43" s="8">
        <v>45341</v>
      </c>
    </row>
    <row r="44" spans="1:7" ht="18.600000000000001" thickBot="1">
      <c r="A44" s="6">
        <v>1036</v>
      </c>
      <c r="B44" s="7" t="s">
        <v>59</v>
      </c>
      <c r="C44" s="7" t="s">
        <v>25</v>
      </c>
      <c r="D44" s="7" t="s">
        <v>23</v>
      </c>
      <c r="E44" s="7">
        <v>15</v>
      </c>
      <c r="F44" s="7">
        <v>25</v>
      </c>
      <c r="G44" s="8">
        <v>45343</v>
      </c>
    </row>
    <row r="45" spans="1:7" ht="18.600000000000001" thickBot="1">
      <c r="A45" s="6">
        <v>1037</v>
      </c>
      <c r="B45" s="7" t="s">
        <v>60</v>
      </c>
      <c r="C45" s="7" t="s">
        <v>16</v>
      </c>
      <c r="D45" s="7" t="s">
        <v>27</v>
      </c>
      <c r="E45" s="7">
        <v>28</v>
      </c>
      <c r="F45" s="7">
        <v>5</v>
      </c>
      <c r="G45" s="8">
        <v>45344</v>
      </c>
    </row>
    <row r="46" spans="1:7" ht="18.600000000000001" thickBot="1">
      <c r="A46" s="6">
        <v>1038</v>
      </c>
      <c r="B46" s="7" t="s">
        <v>61</v>
      </c>
      <c r="C46" s="7" t="s">
        <v>19</v>
      </c>
      <c r="D46" s="7" t="s">
        <v>30</v>
      </c>
      <c r="E46" s="7">
        <v>24</v>
      </c>
      <c r="F46" s="7">
        <v>8</v>
      </c>
      <c r="G46" s="8">
        <v>45345</v>
      </c>
    </row>
    <row r="47" spans="1:7" ht="18.600000000000001" thickBot="1">
      <c r="A47" s="6">
        <v>1039</v>
      </c>
      <c r="B47" s="7" t="s">
        <v>62</v>
      </c>
      <c r="C47" s="7" t="s">
        <v>22</v>
      </c>
      <c r="D47" s="7" t="s">
        <v>17</v>
      </c>
      <c r="E47" s="7">
        <v>16</v>
      </c>
      <c r="F47" s="7">
        <v>50</v>
      </c>
      <c r="G47" s="8">
        <v>45347</v>
      </c>
    </row>
    <row r="48" spans="1:7" ht="18.600000000000001" thickBot="1">
      <c r="A48" s="6">
        <v>1040</v>
      </c>
      <c r="B48" s="7" t="s">
        <v>63</v>
      </c>
      <c r="C48" s="7" t="s">
        <v>25</v>
      </c>
      <c r="D48" s="7" t="s">
        <v>20</v>
      </c>
      <c r="E48" s="7">
        <v>27</v>
      </c>
      <c r="F48" s="7">
        <v>10</v>
      </c>
      <c r="G48" s="8">
        <v>45348</v>
      </c>
    </row>
    <row r="49" spans="1:7" ht="18.600000000000001" thickBot="1">
      <c r="A49" s="6">
        <v>1041</v>
      </c>
      <c r="B49" s="7" t="s">
        <v>64</v>
      </c>
      <c r="C49" s="7" t="s">
        <v>16</v>
      </c>
      <c r="D49" s="7" t="s">
        <v>23</v>
      </c>
      <c r="E49" s="7">
        <v>21</v>
      </c>
      <c r="F49" s="7">
        <v>25</v>
      </c>
      <c r="G49" s="8">
        <v>45349</v>
      </c>
    </row>
    <row r="50" spans="1:7" ht="36.6" thickBot="1">
      <c r="A50" s="6">
        <v>1042</v>
      </c>
      <c r="B50" s="7" t="s">
        <v>65</v>
      </c>
      <c r="C50" s="7" t="s">
        <v>19</v>
      </c>
      <c r="D50" s="7" t="s">
        <v>27</v>
      </c>
      <c r="E50" s="7">
        <v>30</v>
      </c>
      <c r="F50" s="7">
        <v>5</v>
      </c>
      <c r="G50" s="8">
        <v>45350</v>
      </c>
    </row>
    <row r="51" spans="1:7" ht="18.600000000000001" thickBot="1">
      <c r="A51" s="6">
        <v>1043</v>
      </c>
      <c r="B51" s="7" t="s">
        <v>66</v>
      </c>
      <c r="C51" s="7" t="s">
        <v>22</v>
      </c>
      <c r="D51" s="7" t="s">
        <v>30</v>
      </c>
      <c r="E51" s="7">
        <v>26</v>
      </c>
      <c r="F51" s="7">
        <v>8</v>
      </c>
      <c r="G51" s="8">
        <v>45352</v>
      </c>
    </row>
    <row r="52" spans="1:7" ht="18.600000000000001" thickBot="1">
      <c r="A52" s="6">
        <v>1044</v>
      </c>
      <c r="B52" s="7" t="s">
        <v>67</v>
      </c>
      <c r="C52" s="7" t="s">
        <v>25</v>
      </c>
      <c r="D52" s="7" t="s">
        <v>17</v>
      </c>
      <c r="E52" s="7">
        <v>14</v>
      </c>
      <c r="F52" s="7">
        <v>50</v>
      </c>
      <c r="G52" s="8">
        <v>45353</v>
      </c>
    </row>
    <row r="53" spans="1:7" ht="18.600000000000001" thickBot="1">
      <c r="A53" s="6">
        <v>1045</v>
      </c>
      <c r="B53" s="7" t="s">
        <v>68</v>
      </c>
      <c r="C53" s="7" t="s">
        <v>16</v>
      </c>
      <c r="D53" s="7" t="s">
        <v>20</v>
      </c>
      <c r="E53" s="7">
        <v>20</v>
      </c>
      <c r="F53" s="7">
        <v>10</v>
      </c>
      <c r="G53" s="8">
        <v>45354</v>
      </c>
    </row>
    <row r="54" spans="1:7" ht="18.600000000000001" thickBot="1">
      <c r="A54" s="6">
        <v>1046</v>
      </c>
      <c r="B54" s="7" t="s">
        <v>69</v>
      </c>
      <c r="C54" s="7" t="s">
        <v>19</v>
      </c>
      <c r="D54" s="7" t="s">
        <v>23</v>
      </c>
      <c r="E54" s="7">
        <v>17</v>
      </c>
      <c r="F54" s="7">
        <v>25</v>
      </c>
      <c r="G54" s="8">
        <v>45355</v>
      </c>
    </row>
    <row r="55" spans="1:7" ht="18.600000000000001" thickBot="1">
      <c r="A55" s="6">
        <v>1047</v>
      </c>
      <c r="B55" s="7" t="s">
        <v>70</v>
      </c>
      <c r="C55" s="7" t="s">
        <v>22</v>
      </c>
      <c r="D55" s="7" t="s">
        <v>27</v>
      </c>
      <c r="E55" s="7">
        <v>19</v>
      </c>
      <c r="F55" s="7">
        <v>5</v>
      </c>
      <c r="G55" s="8">
        <v>45356</v>
      </c>
    </row>
    <row r="56" spans="1:7" ht="18.600000000000001" thickBot="1">
      <c r="A56" s="6">
        <v>1048</v>
      </c>
      <c r="B56" s="7" t="s">
        <v>71</v>
      </c>
      <c r="C56" s="7" t="s">
        <v>25</v>
      </c>
      <c r="D56" s="7" t="s">
        <v>30</v>
      </c>
      <c r="E56" s="7">
        <v>32</v>
      </c>
      <c r="F56" s="7">
        <v>8</v>
      </c>
      <c r="G56" s="8">
        <v>45357</v>
      </c>
    </row>
    <row r="57" spans="1:7" ht="18.600000000000001" thickBot="1">
      <c r="A57" s="6">
        <v>1049</v>
      </c>
      <c r="B57" s="7" t="s">
        <v>72</v>
      </c>
      <c r="C57" s="7" t="s">
        <v>16</v>
      </c>
      <c r="D57" s="7" t="s">
        <v>17</v>
      </c>
      <c r="E57" s="7">
        <v>12</v>
      </c>
      <c r="F57" s="7">
        <v>50</v>
      </c>
      <c r="G57" s="8">
        <v>45358</v>
      </c>
    </row>
    <row r="58" spans="1:7" ht="36">
      <c r="A58" s="9">
        <v>1050</v>
      </c>
      <c r="B58" s="10" t="s">
        <v>73</v>
      </c>
      <c r="C58" s="10" t="s">
        <v>19</v>
      </c>
      <c r="D58" s="10" t="s">
        <v>20</v>
      </c>
      <c r="E58" s="10">
        <v>25</v>
      </c>
      <c r="F58" s="10">
        <v>10</v>
      </c>
      <c r="G58" s="11">
        <v>45359</v>
      </c>
    </row>
  </sheetData>
  <pageMargins left="0.75" right="0.75" top="1" bottom="1" header="0.5" footer="0.5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</cp:lastModifiedBy>
  <dcterms:created xsi:type="dcterms:W3CDTF">2026-01-10T06:35:42Z</dcterms:created>
  <dcterms:modified xsi:type="dcterms:W3CDTF">2026-01-11T08:21:36Z</dcterms:modified>
</cp:coreProperties>
</file>